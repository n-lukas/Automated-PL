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l\Desktop\Data Portfolio\Excel Self Model\"/>
    </mc:Choice>
  </mc:AlternateContent>
  <xr:revisionPtr revIDLastSave="0" documentId="13_ncr:1_{18A4C58B-00C7-4799-B372-D1FC3A17417B}" xr6:coauthVersionLast="47" xr6:coauthVersionMax="47" xr10:uidLastSave="{00000000-0000-0000-0000-000000000000}"/>
  <bookViews>
    <workbookView xWindow="-110" yWindow="-110" windowWidth="38620" windowHeight="21100" xr2:uid="{DEF66933-2FE7-40B9-AE5D-8E60B8BDA2C4}"/>
  </bookViews>
  <sheets>
    <sheet name="Welcome" sheetId="1" r:id="rId1"/>
    <sheet name="Transactions" sheetId="2" state="hidden" r:id="rId2"/>
    <sheet name="Settings" sheetId="10" state="hidden" r:id="rId3"/>
    <sheet name="Query" sheetId="6" state="hidden" r:id="rId4"/>
    <sheet name="Validations" sheetId="4" state="hidden" r:id="rId5"/>
  </sheets>
  <definedNames>
    <definedName name="ExternalData_1" localSheetId="3" hidden="1">Query!$A$1:$I$7</definedName>
  </definedNames>
  <calcPr calcId="191029"/>
  <pivotCaches>
    <pivotCache cacheId="1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9" i="4" l="1"/>
  <c r="B50" i="4" s="1" a="1"/>
  <c r="B50" i="4" s="1"/>
  <c r="B51" i="4" s="1" a="1"/>
  <c r="B51" i="4" s="1"/>
  <c r="B52" i="4" s="1" a="1"/>
  <c r="B52" i="4" s="1"/>
  <c r="B53" i="4" s="1" a="1"/>
  <c r="B53" i="4" s="1"/>
  <c r="B54" i="4" s="1" a="1"/>
  <c r="B54" i="4" s="1"/>
  <c r="B55" i="4" s="1" a="1"/>
  <c r="B55" i="4" s="1"/>
  <c r="B56" i="4" s="1" a="1"/>
  <c r="B56" i="4" s="1"/>
  <c r="B57" i="4" s="1" a="1"/>
  <c r="B57" i="4" s="1"/>
  <c r="B58" i="4" s="1" a="1"/>
  <c r="B58" i="4" s="1"/>
  <c r="B59" i="4" s="1" a="1"/>
  <c r="B59" i="4" s="1"/>
  <c r="B60" i="4" s="1" a="1"/>
  <c r="B60" i="4" s="1"/>
  <c r="B61" i="4" s="1" a="1"/>
  <c r="B61" i="4" s="1"/>
  <c r="B62" i="4" s="1" a="1"/>
  <c r="B62" i="4" s="1"/>
  <c r="B63" i="4" s="1" a="1"/>
  <c r="B63" i="4" s="1"/>
  <c r="B64" i="4" s="1" a="1"/>
  <c r="B64" i="4" s="1"/>
  <c r="B65" i="4" s="1" a="1"/>
  <c r="B65" i="4" s="1"/>
  <c r="B66" i="4" s="1" a="1"/>
  <c r="B66" i="4" s="1"/>
  <c r="B67" i="4" s="1" a="1"/>
  <c r="B67" i="4" s="1"/>
  <c r="B68" i="4" s="1" a="1"/>
  <c r="B68" i="4" s="1"/>
  <c r="B69" i="4" s="1" a="1"/>
  <c r="B69" i="4" s="1"/>
  <c r="B70" i="4" s="1" a="1"/>
  <c r="B70" i="4" s="1"/>
  <c r="B71" i="4" s="1" a="1"/>
  <c r="B71" i="4" s="1"/>
  <c r="B72" i="4" s="1" a="1"/>
  <c r="B72" i="4" s="1"/>
  <c r="B73" i="4" s="1" a="1"/>
  <c r="B73" i="4" s="1"/>
  <c r="B74" i="4" s="1" a="1"/>
  <c r="B74" i="4" s="1"/>
  <c r="B75" i="4" s="1" a="1"/>
  <c r="B75" i="4" s="1"/>
  <c r="B76" i="4" s="1" a="1"/>
  <c r="B76" i="4" s="1"/>
  <c r="B77" i="4" s="1" a="1"/>
  <c r="B77" i="4" s="1"/>
  <c r="B78" i="4" s="1" a="1"/>
  <c r="B78" i="4" s="1"/>
  <c r="B79" i="4" s="1" a="1"/>
  <c r="B79" i="4" s="1"/>
  <c r="B80" i="4" s="1" a="1"/>
  <c r="B80" i="4" s="1"/>
  <c r="B81" i="4" s="1" a="1"/>
  <c r="B81" i="4" s="1"/>
  <c r="B82" i="4" s="1" a="1"/>
  <c r="B82" i="4" s="1"/>
  <c r="B83" i="4" s="1" a="1"/>
  <c r="B83" i="4" s="1"/>
  <c r="B84" i="4" s="1" a="1"/>
  <c r="B84" i="4" s="1"/>
  <c r="B85" i="4" s="1" a="1"/>
  <c r="B85" i="4" s="1"/>
  <c r="B86" i="4" s="1" a="1"/>
  <c r="B86" i="4" s="1"/>
  <c r="B87" i="4" s="1" a="1"/>
  <c r="B87" i="4" s="1"/>
  <c r="B88" i="4" s="1" a="1"/>
  <c r="B88" i="4" s="1"/>
  <c r="B89" i="4" s="1" a="1"/>
  <c r="B89" i="4" s="1"/>
  <c r="B90" i="4" s="1" a="1"/>
  <c r="B90" i="4" s="1"/>
  <c r="B91" i="4" s="1" a="1"/>
  <c r="B91" i="4" s="1"/>
  <c r="B92" i="4" s="1" a="1"/>
  <c r="B92" i="4" s="1"/>
  <c r="B93" i="4" s="1" a="1"/>
  <c r="B93" i="4" s="1"/>
  <c r="B94" i="4" s="1" a="1"/>
  <c r="B94" i="4" s="1"/>
  <c r="B95" i="4" s="1" a="1"/>
  <c r="B95" i="4" s="1"/>
  <c r="B96" i="4" s="1" a="1"/>
  <c r="B96" i="4" s="1"/>
  <c r="B97" i="4" s="1" a="1"/>
  <c r="B97" i="4" s="1"/>
  <c r="B98" i="4" s="1" a="1"/>
  <c r="B98" i="4" s="1"/>
  <c r="B99" i="4" s="1" a="1"/>
  <c r="B99" i="4" s="1"/>
  <c r="B100" i="4" s="1" a="1"/>
  <c r="B100" i="4" s="1"/>
  <c r="B101" i="4" s="1" a="1"/>
  <c r="B101" i="4" s="1"/>
  <c r="B102" i="4" s="1" a="1"/>
  <c r="B102" i="4" s="1"/>
  <c r="B103" i="4" s="1" a="1"/>
  <c r="B103" i="4" s="1"/>
  <c r="B104" i="4" s="1" a="1"/>
  <c r="B104" i="4" s="1"/>
  <c r="B105" i="4" s="1" a="1"/>
  <c r="B105" i="4" s="1"/>
  <c r="B106" i="4" s="1" a="1"/>
  <c r="B106" i="4" s="1"/>
  <c r="B107" i="4" s="1" a="1"/>
  <c r="B107" i="4" s="1"/>
  <c r="B108" i="4" s="1" a="1"/>
  <c r="B108" i="4" s="1"/>
  <c r="B109" i="4" s="1" a="1"/>
  <c r="B109" i="4" s="1"/>
  <c r="B110" i="4" s="1" a="1"/>
  <c r="B110" i="4" s="1"/>
  <c r="B111" i="4" s="1" a="1"/>
  <c r="B111" i="4" s="1"/>
  <c r="B112" i="4" s="1" a="1"/>
  <c r="B112" i="4" s="1"/>
  <c r="B113" i="4" s="1" a="1"/>
  <c r="B113" i="4" s="1"/>
  <c r="B114" i="4" s="1" a="1"/>
  <c r="B114" i="4" s="1"/>
  <c r="B115" i="4" s="1" a="1"/>
  <c r="B115" i="4" s="1"/>
  <c r="B116" i="4" s="1" a="1"/>
  <c r="B116" i="4" s="1"/>
  <c r="B117" i="4" s="1" a="1"/>
  <c r="B117" i="4" s="1"/>
  <c r="B118" i="4" s="1" a="1"/>
  <c r="B118" i="4" s="1"/>
  <c r="B119" i="4" s="1" a="1"/>
  <c r="B119" i="4" s="1"/>
  <c r="B120" i="4" s="1" a="1"/>
  <c r="B120" i="4" s="1"/>
  <c r="B121" i="4" s="1" a="1"/>
  <c r="B121" i="4" s="1"/>
  <c r="B122" i="4" s="1" a="1"/>
  <c r="B122" i="4" s="1"/>
  <c r="B123" i="4" s="1" a="1"/>
  <c r="B123" i="4" s="1"/>
  <c r="B124" i="4" s="1" a="1"/>
  <c r="B124" i="4" s="1"/>
  <c r="B125" i="4" s="1" a="1"/>
  <c r="B125" i="4" s="1"/>
  <c r="B126" i="4" s="1" a="1"/>
  <c r="B126" i="4" s="1"/>
  <c r="B127" i="4" s="1" a="1"/>
  <c r="B127" i="4" s="1"/>
  <c r="B128" i="4" s="1" a="1"/>
  <c r="B128" i="4" s="1"/>
  <c r="B129" i="4" s="1" a="1"/>
  <c r="B129" i="4" s="1"/>
  <c r="B130" i="4" s="1" a="1"/>
  <c r="B130" i="4" s="1"/>
  <c r="B131" i="4" s="1" a="1"/>
  <c r="B131" i="4" s="1"/>
  <c r="B132" i="4" s="1" a="1"/>
  <c r="B132" i="4" s="1"/>
  <c r="B133" i="4" s="1" a="1"/>
  <c r="B133" i="4" s="1"/>
  <c r="B134" i="4" s="1" a="1"/>
  <c r="B134" i="4" s="1"/>
  <c r="B135" i="4" s="1" a="1"/>
  <c r="B135" i="4" s="1"/>
  <c r="B136" i="4" s="1" a="1"/>
  <c r="B136" i="4" s="1"/>
  <c r="B137" i="4" s="1" a="1"/>
  <c r="B137" i="4" s="1"/>
  <c r="B138" i="4" s="1" a="1"/>
  <c r="B138" i="4" s="1"/>
  <c r="B139" i="4" s="1" a="1"/>
  <c r="B139" i="4" s="1"/>
  <c r="B140" i="4" s="1" a="1"/>
  <c r="B140" i="4" s="1"/>
  <c r="B141" i="4" s="1" a="1"/>
  <c r="B141" i="4" s="1"/>
  <c r="B142" i="4" s="1" a="1"/>
  <c r="B142" i="4" s="1"/>
  <c r="B143" i="4" s="1" a="1"/>
  <c r="B143" i="4" s="1"/>
  <c r="B144" i="4" s="1" a="1"/>
  <c r="B144" i="4" s="1"/>
  <c r="B145" i="4" s="1" a="1"/>
  <c r="B145" i="4" s="1"/>
  <c r="B146" i="4" s="1" a="1"/>
  <c r="B146" i="4" s="1"/>
  <c r="B147" i="4" s="1" a="1"/>
  <c r="B147" i="4" s="1"/>
  <c r="B148" i="4" s="1" a="1"/>
  <c r="B148" i="4" s="1"/>
  <c r="D6" i="2"/>
  <c r="J2" i="6"/>
  <c r="J3" i="6"/>
  <c r="J4" i="6"/>
  <c r="J5" i="6"/>
  <c r="J6" i="6"/>
  <c r="J7" i="6"/>
  <c r="E2" i="4"/>
  <c r="L2" i="6"/>
  <c r="L3" i="6"/>
  <c r="L4" i="6" l="1"/>
  <c r="C44" i="4" l="1"/>
  <c r="C45" i="4" s="1"/>
  <c r="L5" i="6" a="1"/>
  <c r="L5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EFEC37-DFCB-45B4-918F-61484489F453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<sst xmlns="http://schemas.openxmlformats.org/spreadsheetml/2006/main" count="71" uniqueCount="52">
  <si>
    <t>Transaction ID</t>
  </si>
  <si>
    <t>Date</t>
  </si>
  <si>
    <t>Transaction Type</t>
  </si>
  <si>
    <t>Transaction Types</t>
  </si>
  <si>
    <t>Revenue</t>
  </si>
  <si>
    <t>Expense</t>
  </si>
  <si>
    <t>Sub Type</t>
  </si>
  <si>
    <t>Investment</t>
  </si>
  <si>
    <t>Sales</t>
  </si>
  <si>
    <t>Credit</t>
  </si>
  <si>
    <t>Cost of Sales</t>
  </si>
  <si>
    <t>SG&amp;A</t>
  </si>
  <si>
    <t>Capex</t>
  </si>
  <si>
    <t>Other</t>
  </si>
  <si>
    <t>Units</t>
  </si>
  <si>
    <t>Actuals/Forecast</t>
  </si>
  <si>
    <t>Actuals</t>
  </si>
  <si>
    <t>Forecast</t>
  </si>
  <si>
    <t>Cost/Revenue Per Unit</t>
  </si>
  <si>
    <t>Blank Cell for Validation</t>
  </si>
  <si>
    <t>Start Year</t>
  </si>
  <si>
    <t>End Year</t>
  </si>
  <si>
    <t>Year</t>
  </si>
  <si>
    <t>Column Labels</t>
  </si>
  <si>
    <t>(blank)</t>
  </si>
  <si>
    <t>Grand Total</t>
  </si>
  <si>
    <t>Row Labels</t>
  </si>
  <si>
    <t>Total Cost/Profit</t>
  </si>
  <si>
    <t>Fixed Cost</t>
  </si>
  <si>
    <t>Interest Expense</t>
  </si>
  <si>
    <t>Years</t>
  </si>
  <si>
    <t>Last</t>
  </si>
  <si>
    <t>First</t>
  </si>
  <si>
    <t>Total</t>
  </si>
  <si>
    <t>Lifecycle</t>
  </si>
  <si>
    <t>D&amp;A Years</t>
  </si>
  <si>
    <t>D&amp;A Lifecycle (Years)</t>
  </si>
  <si>
    <t>R&amp;D</t>
  </si>
  <si>
    <t>Advertising</t>
  </si>
  <si>
    <t>Variable Cost</t>
  </si>
  <si>
    <t>Model Name</t>
  </si>
  <si>
    <t>Amortization Years</t>
  </si>
  <si>
    <t>Model Years</t>
  </si>
  <si>
    <t>Default</t>
  </si>
  <si>
    <t>Tax Rate</t>
  </si>
  <si>
    <t>Model</t>
  </si>
  <si>
    <t>Display</t>
  </si>
  <si>
    <t>Millions</t>
  </si>
  <si>
    <t>Thousands</t>
  </si>
  <si>
    <t>Actual Value</t>
  </si>
  <si>
    <t>Transformed Cost/Profit</t>
  </si>
  <si>
    <t>Sum of Transformed Cost/Profit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</si>
</sst>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3" fillId="0" borderId="0" xfId="2"/>
    <xf numFmtId="0" fontId="2" fillId="2" borderId="1" xfId="0" applyFont="1" applyFill="1" applyBorder="1"/>
    <xf numFmtId="0" fontId="0" fillId="2" borderId="1" xfId="0" applyFill="1" applyBorder="1"/>
    <xf numFmtId="0" fontId="0" fillId="2" borderId="0" xfId="0" applyFill="1" applyAlignment="1">
      <alignment horizontal="left"/>
    </xf>
    <xf numFmtId="0" fontId="0" fillId="2" borderId="3" xfId="0" applyFill="1" applyBorder="1" applyAlignment="1">
      <alignment horizontal="center"/>
    </xf>
    <xf numFmtId="0" fontId="2" fillId="2" borderId="2" xfId="0" applyFont="1" applyFill="1" applyBorder="1"/>
    <xf numFmtId="0" fontId="0" fillId="2" borderId="0" xfId="0" applyFont="1" applyFill="1" applyAlignment="1">
      <alignment horizontal="left"/>
    </xf>
    <xf numFmtId="0" fontId="2" fillId="3" borderId="0" xfId="0" applyFont="1" applyFill="1"/>
    <xf numFmtId="0" fontId="0" fillId="3" borderId="0" xfId="0" applyFill="1"/>
    <xf numFmtId="0" fontId="0" fillId="4" borderId="0" xfId="0" applyFont="1" applyFill="1"/>
    <xf numFmtId="0" fontId="0" fillId="4" borderId="0" xfId="0" applyFill="1"/>
    <xf numFmtId="0" fontId="4" fillId="4" borderId="0" xfId="0" applyFont="1" applyFill="1"/>
    <xf numFmtId="0" fontId="3" fillId="4" borderId="0" xfId="2" applyFill="1"/>
    <xf numFmtId="0" fontId="5" fillId="0" borderId="0" xfId="0" applyFont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2"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17</xdr:row>
          <xdr:rowOff>44450</xdr:rowOff>
        </xdr:from>
        <xdr:to>
          <xdr:col>13</xdr:col>
          <xdr:colOff>120650</xdr:colOff>
          <xdr:row>22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402652</xdr:colOff>
      <xdr:row>8</xdr:row>
      <xdr:rowOff>70935</xdr:rowOff>
    </xdr:from>
    <xdr:ext cx="46493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60252" y="1544135"/>
          <a:ext cx="464935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Automated P&amp;L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1</xdr:row>
          <xdr:rowOff>12700</xdr:rowOff>
        </xdr:from>
        <xdr:to>
          <xdr:col>1</xdr:col>
          <xdr:colOff>831850</xdr:colOff>
          <xdr:row>4</xdr:row>
          <xdr:rowOff>6350</xdr:rowOff>
        </xdr:to>
        <xdr:sp macro="" textlink="">
          <xdr:nvSpPr>
            <xdr:cNvPr id="2063" name="CommandButton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12700</xdr:rowOff>
        </xdr:from>
        <xdr:to>
          <xdr:col>3</xdr:col>
          <xdr:colOff>6350</xdr:colOff>
          <xdr:row>4</xdr:row>
          <xdr:rowOff>6350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12700</xdr:rowOff>
        </xdr:from>
        <xdr:to>
          <xdr:col>7</xdr:col>
          <xdr:colOff>1257300</xdr:colOff>
          <xdr:row>4</xdr:row>
          <xdr:rowOff>6350</xdr:rowOff>
        </xdr:to>
        <xdr:sp macro="" textlink="">
          <xdr:nvSpPr>
            <xdr:cNvPr id="2065" name="CommandButton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9</xdr:row>
          <xdr:rowOff>31750</xdr:rowOff>
        </xdr:from>
        <xdr:to>
          <xdr:col>10</xdr:col>
          <xdr:colOff>400050</xdr:colOff>
          <xdr:row>12</xdr:row>
          <xdr:rowOff>25400</xdr:rowOff>
        </xdr:to>
        <xdr:sp macro="" textlink="">
          <xdr:nvSpPr>
            <xdr:cNvPr id="2066" name="CommandButton4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228600</xdr:colOff>
      <xdr:row>12</xdr:row>
      <xdr:rowOff>127000</xdr:rowOff>
    </xdr:from>
    <xdr:to>
      <xdr:col>4</xdr:col>
      <xdr:colOff>349250</xdr:colOff>
      <xdr:row>17</xdr:row>
      <xdr:rowOff>120650</xdr:rowOff>
    </xdr:to>
    <xdr:pic>
      <xdr:nvPicPr>
        <xdr:cNvPr id="2" name="Frown" descr="Sad face outline outlin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1000" y="2336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234950</xdr:colOff>
      <xdr:row>6</xdr:row>
      <xdr:rowOff>146050</xdr:rowOff>
    </xdr:from>
    <xdr:to>
      <xdr:col>4</xdr:col>
      <xdr:colOff>355600</xdr:colOff>
      <xdr:row>11</xdr:row>
      <xdr:rowOff>139700</xdr:rowOff>
    </xdr:to>
    <xdr:pic>
      <xdr:nvPicPr>
        <xdr:cNvPr id="3" name="Smile" descr="Smiling face outline outlin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27350" y="1250950"/>
          <a:ext cx="914400" cy="914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k Lukas" refreshedDate="44745.992828125003" createdVersion="8" refreshedVersion="8" minRefreshableVersion="3" recordCount="6" xr:uid="{135FF94F-5ADA-45D0-9490-881195A1E7B1}">
  <cacheSource type="worksheet">
    <worksheetSource name="Table1_2"/>
  </cacheSource>
  <cacheFields count="10">
    <cacheField name="Transaction ID" numFmtId="0">
      <sharedItems containsNonDate="0" containsString="0" containsBlank="1"/>
    </cacheField>
    <cacheField name="Date" numFmtId="0">
      <sharedItems containsString="0" containsBlank="1" containsNumber="1" containsInteger="1" minValue="44594" maxValue="44594"/>
    </cacheField>
    <cacheField name="Transaction Type" numFmtId="0">
      <sharedItems containsBlank="1" count="4">
        <s v="Revenue"/>
        <m/>
        <s v="Expense" u="1"/>
        <s v="Investment" u="1"/>
      </sharedItems>
    </cacheField>
    <cacheField name="Sub Type" numFmtId="0">
      <sharedItems containsBlank="1" count="5">
        <s v="Sales"/>
        <m/>
        <s v="Capex" u="1"/>
        <s v="Cost of Sales" u="1"/>
        <s v="Credit" u="1"/>
      </sharedItems>
    </cacheField>
    <cacheField name="Actuals/Forecast" numFmtId="0">
      <sharedItems containsNonDate="0" containsString="0" containsBlank="1"/>
    </cacheField>
    <cacheField name="Units" numFmtId="0">
      <sharedItems containsString="0" containsBlank="1" containsNumber="1" containsInteger="1" minValue="2" maxValue="2"/>
    </cacheField>
    <cacheField name="Cost/Revenue Per Unit" numFmtId="0">
      <sharedItems containsString="0" containsBlank="1" containsNumber="1" containsInteger="1" minValue="500" maxValue="500"/>
    </cacheField>
    <cacheField name="Year" numFmtId="0">
      <sharedItems containsString="0" containsBlank="1" containsNumber="1" containsInteger="1" minValue="2022" maxValue="2026" count="5">
        <n v="2022"/>
        <m/>
        <n v="2026" u="1"/>
        <n v="2023" u="1"/>
        <n v="2024" u="1"/>
      </sharedItems>
    </cacheField>
    <cacheField name="Total Cost/Profit" numFmtId="0">
      <sharedItems containsString="0" containsBlank="1" containsNumber="1" containsInteger="1" minValue="1000" maxValue="1000"/>
    </cacheField>
    <cacheField name="Transformed Cost/Profit" numFmtId="0">
      <sharedItems containsSemiMixedTypes="0" containsString="0" containsNumber="1" containsInteger="1" minValue="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m/>
    <n v="44594"/>
    <x v="0"/>
    <x v="0"/>
    <m/>
    <n v="2"/>
    <n v="500"/>
    <x v="0"/>
    <n v="1000"/>
    <n v="1000"/>
  </r>
  <r>
    <m/>
    <m/>
    <x v="1"/>
    <x v="1"/>
    <m/>
    <m/>
    <m/>
    <x v="1"/>
    <m/>
    <n v="0"/>
  </r>
  <r>
    <m/>
    <m/>
    <x v="1"/>
    <x v="1"/>
    <m/>
    <m/>
    <m/>
    <x v="1"/>
    <m/>
    <n v="0"/>
  </r>
  <r>
    <m/>
    <m/>
    <x v="1"/>
    <x v="1"/>
    <m/>
    <m/>
    <m/>
    <x v="1"/>
    <m/>
    <n v="0"/>
  </r>
  <r>
    <m/>
    <m/>
    <x v="1"/>
    <x v="1"/>
    <m/>
    <m/>
    <m/>
    <x v="1"/>
    <m/>
    <n v="0"/>
  </r>
  <r>
    <m/>
    <m/>
    <x v="1"/>
    <x v="1"/>
    <m/>
    <m/>
    <m/>
    <x v="1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9EE448-414A-42EA-9774-D35EA759B932}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:Q7" firstHeaderRow="1" firstDataRow="2" firstDataCol="1"/>
  <pivotFields count="10">
    <pivotField showAll="0"/>
    <pivotField showAll="0"/>
    <pivotField axis="axisRow" showAll="0">
      <items count="5">
        <item m="1" x="2"/>
        <item m="1" x="3"/>
        <item x="0"/>
        <item x="1"/>
        <item t="default"/>
      </items>
    </pivotField>
    <pivotField axis="axisRow" showAll="0">
      <items count="6">
        <item m="1" x="2"/>
        <item m="1" x="3"/>
        <item x="0"/>
        <item x="1"/>
        <item m="1" x="4"/>
        <item t="default"/>
      </items>
    </pivotField>
    <pivotField showAll="0"/>
    <pivotField showAll="0"/>
    <pivotField showAll="0"/>
    <pivotField axis="axisCol" showAll="0">
      <items count="6">
        <item x="0"/>
        <item x="1"/>
        <item m="1" x="3"/>
        <item m="1" x="2"/>
        <item m="1" x="4"/>
        <item t="default"/>
      </items>
    </pivotField>
    <pivotField showAll="0"/>
    <pivotField dataField="1" showAll="0"/>
  </pivotFields>
  <rowFields count="2">
    <field x="2"/>
    <field x="3"/>
  </rowFields>
  <rowItems count="5">
    <i>
      <x v="2"/>
    </i>
    <i r="1">
      <x v="2"/>
    </i>
    <i>
      <x v="3"/>
    </i>
    <i r="1">
      <x v="3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Sum of Transformed Cost/Profit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5AC3A0C-3262-434C-8674-5298D0D34DD9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Transaction ID" tableColumnId="1"/>
      <queryTableField id="2" name="Date" tableColumnId="2"/>
      <queryTableField id="3" name="Transaction Type" tableColumnId="3"/>
      <queryTableField id="4" name="Sub Type" tableColumnId="4"/>
      <queryTableField id="5" name="Actuals/Forecast" tableColumnId="5"/>
      <queryTableField id="6" name="Units" tableColumnId="6"/>
      <queryTableField id="7" name="Cost/Revenue Per Unit" tableColumnId="7"/>
      <queryTableField id="8" name="Year" tableColumnId="8"/>
      <queryTableField id="10" name="Total Cost/Profit" tableColumnId="10"/>
      <queryTableField id="11" dataBound="0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8F0703-6EBD-4048-A8DA-7F9F9DA9093F}" name="Table1" displayName="Table1" ref="B8:H14" totalsRowShown="0">
  <autoFilter ref="B8:H14" xr:uid="{9F8F0703-6EBD-4048-A8DA-7F9F9DA9093F}"/>
  <tableColumns count="7">
    <tableColumn id="1" xr3:uid="{B3D70D82-BDCE-4F13-97C8-7449F02A89A7}" name="Transaction ID"/>
    <tableColumn id="2" xr3:uid="{7C358108-19EC-4B90-95C7-EA95B432B163}" name="Date" dataDxfId="1"/>
    <tableColumn id="3" xr3:uid="{DAD466E2-C2AC-4890-BE28-F509232DF8EC}" name="Transaction Type"/>
    <tableColumn id="4" xr3:uid="{9C7D6C12-1E7E-49AE-89A3-2B00C1C9BBF9}" name="Sub Type"/>
    <tableColumn id="17" xr3:uid="{0F4EDC19-9A40-4FAD-9D2E-BA3BAF622C1E}" name="Actuals/Forecast"/>
    <tableColumn id="5" xr3:uid="{F08EC2D4-85CF-4291-A0E9-27310294B8FF}" name="Units"/>
    <tableColumn id="6" xr3:uid="{D2F98DFF-0EDF-4C8C-9350-63BD20783084}" name="Cost/Revenue Per Unit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6F2B3C-1F9A-4CF7-A359-259E51B09BAD}" name="Table1_2" displayName="Table1_2" ref="A1:J7" tableType="queryTable" totalsRowShown="0">
  <autoFilter ref="A1:J7" xr:uid="{1E6F2B3C-1F9A-4CF7-A359-259E51B09BAD}"/>
  <tableColumns count="10">
    <tableColumn id="1" xr3:uid="{1BF2F091-C16E-4E42-AB5B-CEFF485066D4}" uniqueName="1" name="Transaction ID" queryTableFieldId="1"/>
    <tableColumn id="2" xr3:uid="{BC4971E3-C8B0-4545-8629-F9C9C0473597}" uniqueName="2" name="Date" queryTableFieldId="2"/>
    <tableColumn id="3" xr3:uid="{A37AF8AC-D377-422B-AF9D-08AB536AF27D}" uniqueName="3" name="Transaction Type" queryTableFieldId="3"/>
    <tableColumn id="4" xr3:uid="{1D34BB8C-7DB9-4D64-8012-44D62A5AC9EB}" uniqueName="4" name="Sub Type" queryTableFieldId="4"/>
    <tableColumn id="5" xr3:uid="{4FCBC67F-3C6A-4EFD-B38C-F8F4BBC3EDE7}" uniqueName="5" name="Actuals/Forecast" queryTableFieldId="5"/>
    <tableColumn id="6" xr3:uid="{D65C2133-A974-423E-AE89-321B2FF0D9FE}" uniqueName="6" name="Units" queryTableFieldId="6"/>
    <tableColumn id="7" xr3:uid="{E3903F89-3D7E-4648-893B-E9B9CAC2605F}" uniqueName="7" name="Cost/Revenue Per Unit" queryTableFieldId="7"/>
    <tableColumn id="8" xr3:uid="{A9712F7C-6750-4DC3-AD02-48F4EC7EFEFF}" uniqueName="8" name="Year" queryTableFieldId="8"/>
    <tableColumn id="10" xr3:uid="{5B7025FC-CDC7-4393-AF71-BD2B48CD408B}" uniqueName="10" name="Total Cost/Profit" queryTableFieldId="10"/>
    <tableColumn id="9" xr3:uid="{2E622F6B-4D67-4299-B6AF-B1329D9E7974}" uniqueName="9" name="Transformed Cost/Profit" queryTableFieldId="11" dataDxfId="0">
      <calculatedColumnFormula>Table1_2[[#This Row],[Total Cost/Profit]]/Validations!$E$2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table" Target="../tables/table1.xml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11719-A1F1-4944-A66D-7B4C8E0C21AD}">
  <sheetPr codeName="Sheet1"/>
  <dimension ref="A20:P38"/>
  <sheetViews>
    <sheetView showGridLines="0" tabSelected="1" workbookViewId="0">
      <selection activeCell="J36" sqref="J36"/>
    </sheetView>
  </sheetViews>
  <sheetFormatPr defaultRowHeight="14.5" x14ac:dyDescent="0.35"/>
  <cols>
    <col min="1" max="16384" width="8.7265625" style="19"/>
  </cols>
  <sheetData>
    <row r="20" spans="16:16" x14ac:dyDescent="0.35">
      <c r="P20" s="18"/>
    </row>
    <row r="33" spans="1:11" x14ac:dyDescent="0.35">
      <c r="A33" s="20"/>
    </row>
    <row r="38" spans="1:11" x14ac:dyDescent="0.35">
      <c r="K38" s="21"/>
    </row>
  </sheetData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7</xdr:col>
                <xdr:colOff>412750</xdr:colOff>
                <xdr:row>17</xdr:row>
                <xdr:rowOff>44450</xdr:rowOff>
              </from>
              <to>
                <xdr:col>13</xdr:col>
                <xdr:colOff>120650</xdr:colOff>
                <xdr:row>22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5EE23-6B16-4866-9B24-25588A925D54}">
  <sheetPr codeName="Sheet2"/>
  <dimension ref="B6:H14"/>
  <sheetViews>
    <sheetView showGridLines="0" workbookViewId="0">
      <selection activeCell="D23" sqref="D23"/>
    </sheetView>
  </sheetViews>
  <sheetFormatPr defaultRowHeight="14.5" x14ac:dyDescent="0.35"/>
  <cols>
    <col min="2" max="2" width="15.26953125" bestFit="1" customWidth="1"/>
    <col min="3" max="3" width="10.54296875" customWidth="1"/>
    <col min="4" max="4" width="18.453125" bestFit="1" customWidth="1"/>
    <col min="5" max="5" width="10.6328125" bestFit="1" customWidth="1"/>
    <col min="6" max="6" width="17.1796875" bestFit="1" customWidth="1"/>
    <col min="7" max="7" width="10.26953125" customWidth="1"/>
    <col min="8" max="8" width="22.26953125" bestFit="1" customWidth="1"/>
    <col min="9" max="11" width="10.26953125" customWidth="1"/>
    <col min="12" max="18" width="11.26953125" customWidth="1"/>
  </cols>
  <sheetData>
    <row r="6" spans="2:8" x14ac:dyDescent="0.35">
      <c r="D6" s="22" t="str">
        <f>IF(COUNTIFS(Table1[Cost/Revenue Per Unit],"&gt;0",Table1[Transaction Type],"=Expense")&gt;0,"Please double check that all expenses are entered as a negative","")</f>
        <v/>
      </c>
      <c r="E6" s="22"/>
      <c r="F6" s="22"/>
      <c r="G6" s="22"/>
      <c r="H6" s="22"/>
    </row>
    <row r="8" spans="2:8" x14ac:dyDescent="0.35">
      <c r="B8" t="s">
        <v>0</v>
      </c>
      <c r="C8" t="s">
        <v>1</v>
      </c>
      <c r="D8" t="s">
        <v>2</v>
      </c>
      <c r="E8" t="s">
        <v>6</v>
      </c>
      <c r="F8" t="s">
        <v>15</v>
      </c>
      <c r="G8" t="s">
        <v>14</v>
      </c>
      <c r="H8" t="s">
        <v>18</v>
      </c>
    </row>
    <row r="9" spans="2:8" x14ac:dyDescent="0.35">
      <c r="C9" s="2"/>
      <c r="H9" s="1"/>
    </row>
    <row r="10" spans="2:8" x14ac:dyDescent="0.35">
      <c r="C10" s="2"/>
      <c r="H10" s="1"/>
    </row>
    <row r="11" spans="2:8" x14ac:dyDescent="0.35">
      <c r="C11" s="2"/>
      <c r="H11" s="1"/>
    </row>
    <row r="12" spans="2:8" x14ac:dyDescent="0.35">
      <c r="C12" s="2"/>
      <c r="H12" s="1"/>
    </row>
    <row r="13" spans="2:8" x14ac:dyDescent="0.35">
      <c r="C13" s="2"/>
      <c r="H13" s="1"/>
    </row>
    <row r="14" spans="2:8" x14ac:dyDescent="0.35">
      <c r="C14" s="2"/>
      <c r="H14" s="1"/>
    </row>
  </sheetData>
  <mergeCells count="1">
    <mergeCell ref="D6:H6"/>
  </mergeCells>
  <dataValidations count="1">
    <dataValidation type="whole" operator="greaterThan" allowBlank="1" showInputMessage="1" showErrorMessage="1" errorTitle="Invalid Units" error="Please enter the number of Units related to this transaction. Must be greater than 0" sqref="G9:G14" xr:uid="{2247975C-88F2-4D6B-9EF8-2C63FFDEF7AA}">
      <formula1>0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3" r:id="rId3" name="CommandButton1">
          <controlPr defaultSize="0" autoFill="0" autoLine="0" r:id="rId4">
            <anchor moveWithCells="1">
              <from>
                <xdr:col>1</xdr:col>
                <xdr:colOff>215900</xdr:colOff>
                <xdr:row>1</xdr:row>
                <xdr:rowOff>12700</xdr:rowOff>
              </from>
              <to>
                <xdr:col>1</xdr:col>
                <xdr:colOff>831850</xdr:colOff>
                <xdr:row>4</xdr:row>
                <xdr:rowOff>6350</xdr:rowOff>
              </to>
            </anchor>
          </controlPr>
        </control>
      </mc:Choice>
      <mc:Fallback>
        <control shapeId="2063" r:id="rId3" name="CommandButton1"/>
      </mc:Fallback>
    </mc:AlternateContent>
    <mc:AlternateContent xmlns:mc="http://schemas.openxmlformats.org/markup-compatibility/2006">
      <mc:Choice Requires="x14">
        <control shapeId="2064" r:id="rId5" name="CommandButton2">
          <controlPr defaultSize="0" autoFill="0" autoLine="0" r:id="rId6">
            <anchor moveWithCells="1">
              <from>
                <xdr:col>2</xdr:col>
                <xdr:colOff>114300</xdr:colOff>
                <xdr:row>1</xdr:row>
                <xdr:rowOff>12700</xdr:rowOff>
              </from>
              <to>
                <xdr:col>3</xdr:col>
                <xdr:colOff>6350</xdr:colOff>
                <xdr:row>4</xdr:row>
                <xdr:rowOff>6350</xdr:rowOff>
              </to>
            </anchor>
          </controlPr>
        </control>
      </mc:Choice>
      <mc:Fallback>
        <control shapeId="2064" r:id="rId5" name="CommandButton2"/>
      </mc:Fallback>
    </mc:AlternateContent>
    <mc:AlternateContent xmlns:mc="http://schemas.openxmlformats.org/markup-compatibility/2006">
      <mc:Choice Requires="x14">
        <control shapeId="2065" r:id="rId7" name="CommandButton3">
          <controlPr defaultSize="0" autoFill="0" autoLine="0" r:id="rId8">
            <anchor moveWithCells="1">
              <from>
                <xdr:col>3</xdr:col>
                <xdr:colOff>361950</xdr:colOff>
                <xdr:row>1</xdr:row>
                <xdr:rowOff>12700</xdr:rowOff>
              </from>
              <to>
                <xdr:col>7</xdr:col>
                <xdr:colOff>1257300</xdr:colOff>
                <xdr:row>4</xdr:row>
                <xdr:rowOff>6350</xdr:rowOff>
              </to>
            </anchor>
          </controlPr>
        </control>
      </mc:Choice>
      <mc:Fallback>
        <control shapeId="2065" r:id="rId7" name="CommandButton3"/>
      </mc:Fallback>
    </mc:AlternateContent>
    <mc:AlternateContent xmlns:mc="http://schemas.openxmlformats.org/markup-compatibility/2006">
      <mc:Choice Requires="x14">
        <control shapeId="2066" r:id="rId9" name="CommandButton4">
          <controlPr defaultSize="0" autoFill="0" autoLine="0" r:id="rId10">
            <anchor moveWithCells="1">
              <from>
                <xdr:col>8</xdr:col>
                <xdr:colOff>590550</xdr:colOff>
                <xdr:row>9</xdr:row>
                <xdr:rowOff>31750</xdr:rowOff>
              </from>
              <to>
                <xdr:col>10</xdr:col>
                <xdr:colOff>400050</xdr:colOff>
                <xdr:row>12</xdr:row>
                <xdr:rowOff>25400</xdr:rowOff>
              </to>
            </anchor>
          </controlPr>
        </control>
      </mc:Choice>
      <mc:Fallback>
        <control shapeId="2066" r:id="rId9" name="CommandButton4"/>
      </mc:Fallback>
    </mc:AlternateContent>
  </controls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Transaction Type" error="Please select a transaction type from the dropdown" xr:uid="{833CF1B4-6761-4D02-8D41-49923FB8CCB1}">
          <x14:formula1>
            <xm:f>Validations!$B$3:$B$5</xm:f>
          </x14:formula1>
          <xm:sqref>D9:D14</xm:sqref>
        </x14:dataValidation>
        <x14:dataValidation type="list" allowBlank="1" showInputMessage="1" showErrorMessage="1" xr:uid="{15017664-8A16-4CA6-BE49-F4F1EBD65D2D}">
          <x14:formula1>
            <xm:f>Validations!$B$21:$B$22</xm:f>
          </x14:formula1>
          <xm:sqref>F10:F14</xm:sqref>
        </x14:dataValidation>
        <x14:dataValidation type="list" allowBlank="1" showInputMessage="1" showErrorMessage="1" errorTitle="Actuals/Forecast" error="Please enter &quot;Actuals&quot; for transactions that have occured._x000a__x000a_Please enter &quot;Forecast&quot; to forecast future numbers or enter estimates" xr:uid="{B9FC718A-EA78-41C0-9ED5-B753F2825CCE}">
          <x14:formula1>
            <xm:f>Validations!$B$21:$B$22</xm:f>
          </x14:formula1>
          <xm:sqref>F9</xm:sqref>
        </x14:dataValidation>
        <x14:dataValidation type="list" allowBlank="1" showInputMessage="1" showErrorMessage="1" errorTitle="Sub-Type" error="Please select a sub-type from the dropdown. Select &quot;other&quot; if your data does not fall withon one of these types" xr:uid="{3D98B664-D100-4AB8-A779-BDC65CDAF710}">
          <x14:formula1>
            <xm:f>Validations!$B$8:$B$18</xm:f>
          </x14:formula1>
          <xm:sqref>E9:E14</xm:sqref>
        </x14:dataValidation>
        <x14:dataValidation type="date" operator="notEqual" allowBlank="1" showInputMessage="1" showErrorMessage="1" errorTitle="Value not a Date" error="Please enter a Date" xr:uid="{A440CC4C-7815-449D-ADF2-C67AB9CE0565}">
          <x14:formula1>
            <xm:f>Validations!B25</xm:f>
          </x14:formula1>
          <xm:sqref>C9:C14</xm:sqref>
        </x14:dataValidation>
        <x14:dataValidation type="decimal" operator="notEqual" allowBlank="1" showInputMessage="1" showErrorMessage="1" errorTitle="Please enter a Cost" error="Use only numbers to enter the cost per unit. If this is a total cost, make sure units are set to 1 for the transaction." xr:uid="{796CE8BD-A879-4745-86B7-979554F7A9F7}">
          <x14:formula1>
            <xm:f>Validations!B25</xm:f>
          </x14:formula1>
          <xm:sqref>H9:H14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95E7E-02CA-4D3F-BAD0-C0AAE4184009}">
  <sheetPr codeName="Sheet3"/>
  <dimension ref="C2:D13"/>
  <sheetViews>
    <sheetView showGridLines="0" workbookViewId="0">
      <selection activeCell="H25" sqref="H25"/>
    </sheetView>
  </sheetViews>
  <sheetFormatPr defaultRowHeight="14.5" x14ac:dyDescent="0.35"/>
  <cols>
    <col min="3" max="3" width="18.453125" bestFit="1" customWidth="1"/>
    <col min="4" max="4" width="33.36328125" bestFit="1" customWidth="1"/>
  </cols>
  <sheetData>
    <row r="2" spans="3:4" ht="15" thickBot="1" x14ac:dyDescent="0.4"/>
    <row r="3" spans="3:4" ht="15" thickBot="1" x14ac:dyDescent="0.4">
      <c r="C3" s="14" t="s">
        <v>40</v>
      </c>
      <c r="D3" s="13"/>
    </row>
    <row r="4" spans="3:4" ht="15" thickBot="1" x14ac:dyDescent="0.4"/>
    <row r="5" spans="3:4" ht="15" thickBot="1" x14ac:dyDescent="0.4">
      <c r="C5" s="14" t="s">
        <v>36</v>
      </c>
      <c r="D5" s="13" t="s">
        <v>34</v>
      </c>
    </row>
    <row r="6" spans="3:4" ht="15" thickBot="1" x14ac:dyDescent="0.4"/>
    <row r="7" spans="3:4" ht="15" thickBot="1" x14ac:dyDescent="0.4">
      <c r="C7" s="14" t="s">
        <v>20</v>
      </c>
      <c r="D7" s="13" t="s">
        <v>43</v>
      </c>
    </row>
    <row r="8" spans="3:4" ht="15" thickBot="1" x14ac:dyDescent="0.4"/>
    <row r="9" spans="3:4" ht="15" thickBot="1" x14ac:dyDescent="0.4">
      <c r="C9" s="14" t="s">
        <v>21</v>
      </c>
      <c r="D9" s="13" t="s">
        <v>43</v>
      </c>
    </row>
    <row r="10" spans="3:4" ht="15" thickBot="1" x14ac:dyDescent="0.4"/>
    <row r="11" spans="3:4" ht="15" thickBot="1" x14ac:dyDescent="0.4">
      <c r="C11" s="14" t="s">
        <v>44</v>
      </c>
      <c r="D11" s="13">
        <v>21</v>
      </c>
    </row>
    <row r="12" spans="3:4" ht="15" thickBot="1" x14ac:dyDescent="0.4"/>
    <row r="13" spans="3:4" ht="15" thickBot="1" x14ac:dyDescent="0.4">
      <c r="C13" s="14" t="s">
        <v>46</v>
      </c>
      <c r="D13" s="13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77A7A-947F-49F0-B3AD-9FB9D3E62CA9}">
  <sheetPr codeName="Sheet4"/>
  <dimension ref="A1:Q32"/>
  <sheetViews>
    <sheetView workbookViewId="0">
      <selection activeCell="I7" sqref="I7"/>
    </sheetView>
  </sheetViews>
  <sheetFormatPr defaultRowHeight="14.5" x14ac:dyDescent="0.35"/>
  <cols>
    <col min="1" max="1" width="15.26953125" bestFit="1" customWidth="1"/>
    <col min="2" max="2" width="7.08984375" bestFit="1" customWidth="1"/>
    <col min="3" max="3" width="17.453125" bestFit="1" customWidth="1"/>
    <col min="4" max="4" width="10.6328125" bestFit="1" customWidth="1"/>
    <col min="5" max="5" width="17.1796875" bestFit="1" customWidth="1"/>
    <col min="6" max="6" width="7.453125" bestFit="1" customWidth="1"/>
    <col min="7" max="7" width="22.26953125" bestFit="1" customWidth="1"/>
    <col min="8" max="8" width="6.81640625" bestFit="1" customWidth="1"/>
    <col min="9" max="9" width="17.1796875" bestFit="1" customWidth="1"/>
    <col min="10" max="10" width="23.90625" bestFit="1" customWidth="1"/>
    <col min="14" max="14" width="28" bestFit="1" customWidth="1"/>
    <col min="15" max="15" width="15.26953125" bestFit="1" customWidth="1"/>
    <col min="16" max="16" width="6.7265625" bestFit="1" customWidth="1"/>
    <col min="17" max="18" width="10.7265625" bestFit="1" customWidth="1"/>
    <col min="19" max="19" width="20.453125" bestFit="1" customWidth="1"/>
    <col min="20" max="20" width="16.26953125" bestFit="1" customWidth="1"/>
  </cols>
  <sheetData>
    <row r="1" spans="1:17" x14ac:dyDescent="0.35">
      <c r="A1" t="s">
        <v>0</v>
      </c>
      <c r="B1" t="s">
        <v>1</v>
      </c>
      <c r="C1" t="s">
        <v>2</v>
      </c>
      <c r="D1" t="s">
        <v>6</v>
      </c>
      <c r="E1" t="s">
        <v>15</v>
      </c>
      <c r="F1" t="s">
        <v>14</v>
      </c>
      <c r="G1" t="s">
        <v>18</v>
      </c>
      <c r="H1" t="s">
        <v>22</v>
      </c>
      <c r="I1" t="s">
        <v>27</v>
      </c>
      <c r="J1" t="s">
        <v>50</v>
      </c>
      <c r="K1" s="10" t="s">
        <v>30</v>
      </c>
      <c r="L1" s="11"/>
      <c r="N1" s="5" t="s">
        <v>51</v>
      </c>
      <c r="O1" s="5" t="s">
        <v>23</v>
      </c>
    </row>
    <row r="2" spans="1:17" x14ac:dyDescent="0.35">
      <c r="J2">
        <f>Table1_2[[#This Row],[Total Cost/Profit]]/Validations!$E$2</f>
        <v>0</v>
      </c>
      <c r="K2" s="4" t="s">
        <v>31</v>
      </c>
      <c r="L2" s="3">
        <f>MAX(Table1_2[Year])</f>
        <v>0</v>
      </c>
      <c r="N2" s="5" t="s">
        <v>26</v>
      </c>
      <c r="O2">
        <v>2022</v>
      </c>
      <c r="P2" t="s">
        <v>24</v>
      </c>
      <c r="Q2" t="s">
        <v>25</v>
      </c>
    </row>
    <row r="3" spans="1:17" x14ac:dyDescent="0.35">
      <c r="J3">
        <f>Table1_2[[#This Row],[Total Cost/Profit]]/Validations!$E$2</f>
        <v>0</v>
      </c>
      <c r="K3" s="4" t="s">
        <v>32</v>
      </c>
      <c r="L3" s="3">
        <f>MIN(Table1_2[Year])</f>
        <v>0</v>
      </c>
      <c r="N3" s="6" t="s">
        <v>4</v>
      </c>
      <c r="O3" s="8">
        <v>1000</v>
      </c>
      <c r="P3" s="8"/>
      <c r="Q3" s="8">
        <v>1000</v>
      </c>
    </row>
    <row r="4" spans="1:17" x14ac:dyDescent="0.35">
      <c r="J4">
        <f>Table1_2[[#This Row],[Total Cost/Profit]]/Validations!$E$2</f>
        <v>0</v>
      </c>
      <c r="K4" s="4" t="s">
        <v>33</v>
      </c>
      <c r="L4" s="3">
        <f>L2-L3</f>
        <v>0</v>
      </c>
      <c r="N4" s="7" t="s">
        <v>8</v>
      </c>
      <c r="O4" s="8">
        <v>1000</v>
      </c>
      <c r="P4" s="8"/>
      <c r="Q4" s="8">
        <v>1000</v>
      </c>
    </row>
    <row r="5" spans="1:17" x14ac:dyDescent="0.35">
      <c r="J5">
        <f>Table1_2[[#This Row],[Total Cost/Profit]]/Validations!$E$2</f>
        <v>0</v>
      </c>
      <c r="K5" s="4" t="s">
        <v>45</v>
      </c>
      <c r="L5" s="3" cm="1">
        <f t="array" ref="L5">_xlfn.IFS(AND(Settings!D7="Default",Settings!D9="Default"),Query!L4,Settings!D7="Default",Settings!D9-Query!L3,Settings!D9="Default",Query!L2-Settings!D7,TRUE,Settings!D9-Settings!D7)</f>
        <v>0</v>
      </c>
      <c r="N5" s="6" t="s">
        <v>24</v>
      </c>
      <c r="O5" s="8"/>
      <c r="P5" s="8">
        <v>0</v>
      </c>
      <c r="Q5" s="8">
        <v>0</v>
      </c>
    </row>
    <row r="6" spans="1:17" x14ac:dyDescent="0.35">
      <c r="J6">
        <f>Table1_2[[#This Row],[Total Cost/Profit]]/Validations!$E$2</f>
        <v>0</v>
      </c>
      <c r="N6" s="7" t="s">
        <v>24</v>
      </c>
      <c r="O6" s="8"/>
      <c r="P6" s="8">
        <v>0</v>
      </c>
      <c r="Q6" s="8">
        <v>0</v>
      </c>
    </row>
    <row r="7" spans="1:17" x14ac:dyDescent="0.35">
      <c r="J7">
        <f>Table1_2[[#This Row],[Total Cost/Profit]]/Validations!$E$2</f>
        <v>0</v>
      </c>
      <c r="N7" s="6" t="s">
        <v>25</v>
      </c>
      <c r="O7" s="8">
        <v>1000</v>
      </c>
      <c r="P7" s="8">
        <v>0</v>
      </c>
      <c r="Q7" s="8">
        <v>1000</v>
      </c>
    </row>
    <row r="31" spans="14:14" x14ac:dyDescent="0.35">
      <c r="N31" s="9"/>
    </row>
    <row r="32" spans="14:14" x14ac:dyDescent="0.35">
      <c r="N32" s="9"/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04F32-AC08-4435-90F7-B6FBA12A79D4}">
  <sheetPr codeName="Sheet31"/>
  <dimension ref="B2:E148"/>
  <sheetViews>
    <sheetView showGridLines="0" workbookViewId="0">
      <selection activeCell="E51" sqref="E51"/>
    </sheetView>
  </sheetViews>
  <sheetFormatPr defaultRowHeight="14.5" x14ac:dyDescent="0.35"/>
  <cols>
    <col min="2" max="2" width="21.08984375" bestFit="1" customWidth="1"/>
    <col min="4" max="4" width="11.36328125" bestFit="1" customWidth="1"/>
  </cols>
  <sheetData>
    <row r="2" spans="2:5" x14ac:dyDescent="0.35">
      <c r="B2" s="16" t="s">
        <v>3</v>
      </c>
      <c r="D2" s="16" t="s">
        <v>46</v>
      </c>
      <c r="E2" s="16">
        <f>VLOOKUP(Settings!D13,Validations!D3:E5,2,FALSE)</f>
        <v>1</v>
      </c>
    </row>
    <row r="3" spans="2:5" x14ac:dyDescent="0.35">
      <c r="B3" s="3" t="s">
        <v>4</v>
      </c>
      <c r="D3" s="3" t="s">
        <v>47</v>
      </c>
      <c r="E3" s="3">
        <v>1000000</v>
      </c>
    </row>
    <row r="4" spans="2:5" x14ac:dyDescent="0.35">
      <c r="B4" s="3" t="s">
        <v>5</v>
      </c>
      <c r="D4" s="3" t="s">
        <v>48</v>
      </c>
      <c r="E4" s="3">
        <v>1000</v>
      </c>
    </row>
    <row r="5" spans="2:5" x14ac:dyDescent="0.35">
      <c r="B5" s="3" t="s">
        <v>7</v>
      </c>
      <c r="D5" s="3" t="s">
        <v>49</v>
      </c>
      <c r="E5" s="3">
        <v>1</v>
      </c>
    </row>
    <row r="7" spans="2:5" x14ac:dyDescent="0.35">
      <c r="B7" s="16" t="s">
        <v>6</v>
      </c>
    </row>
    <row r="8" spans="2:5" x14ac:dyDescent="0.35">
      <c r="B8" s="3" t="s">
        <v>8</v>
      </c>
    </row>
    <row r="9" spans="2:5" x14ac:dyDescent="0.35">
      <c r="B9" s="3" t="s">
        <v>9</v>
      </c>
    </row>
    <row r="10" spans="2:5" x14ac:dyDescent="0.35">
      <c r="B10" s="3" t="s">
        <v>10</v>
      </c>
    </row>
    <row r="11" spans="2:5" x14ac:dyDescent="0.35">
      <c r="B11" s="3" t="s">
        <v>11</v>
      </c>
    </row>
    <row r="12" spans="2:5" x14ac:dyDescent="0.35">
      <c r="B12" s="4" t="s">
        <v>12</v>
      </c>
    </row>
    <row r="13" spans="2:5" x14ac:dyDescent="0.35">
      <c r="B13" s="4" t="s">
        <v>28</v>
      </c>
    </row>
    <row r="14" spans="2:5" x14ac:dyDescent="0.35">
      <c r="B14" s="4" t="s">
        <v>39</v>
      </c>
    </row>
    <row r="15" spans="2:5" x14ac:dyDescent="0.35">
      <c r="B15" s="4" t="s">
        <v>38</v>
      </c>
    </row>
    <row r="16" spans="2:5" x14ac:dyDescent="0.35">
      <c r="B16" s="4" t="s">
        <v>37</v>
      </c>
    </row>
    <row r="17" spans="2:3" x14ac:dyDescent="0.35">
      <c r="B17" s="4" t="s">
        <v>29</v>
      </c>
    </row>
    <row r="18" spans="2:3" x14ac:dyDescent="0.35">
      <c r="B18" s="4" t="s">
        <v>13</v>
      </c>
    </row>
    <row r="20" spans="2:3" x14ac:dyDescent="0.35">
      <c r="B20" s="16" t="s">
        <v>15</v>
      </c>
    </row>
    <row r="21" spans="2:3" x14ac:dyDescent="0.35">
      <c r="B21" s="4" t="s">
        <v>16</v>
      </c>
    </row>
    <row r="22" spans="2:3" x14ac:dyDescent="0.35">
      <c r="B22" s="4" t="s">
        <v>17</v>
      </c>
    </row>
    <row r="24" spans="2:3" x14ac:dyDescent="0.35">
      <c r="B24" s="16" t="s">
        <v>19</v>
      </c>
    </row>
    <row r="25" spans="2:3" x14ac:dyDescent="0.35">
      <c r="B25" s="3"/>
    </row>
    <row r="28" spans="2:3" x14ac:dyDescent="0.35">
      <c r="B28" s="16" t="s">
        <v>41</v>
      </c>
      <c r="C28" s="17"/>
    </row>
    <row r="29" spans="2:3" x14ac:dyDescent="0.35">
      <c r="B29" s="12">
        <v>1</v>
      </c>
      <c r="C29" s="3">
        <v>1</v>
      </c>
    </row>
    <row r="30" spans="2:3" x14ac:dyDescent="0.35">
      <c r="B30" s="12">
        <v>2</v>
      </c>
      <c r="C30" s="3">
        <v>2</v>
      </c>
    </row>
    <row r="31" spans="2:3" x14ac:dyDescent="0.35">
      <c r="B31" s="12">
        <v>3</v>
      </c>
      <c r="C31" s="3">
        <v>3</v>
      </c>
    </row>
    <row r="32" spans="2:3" x14ac:dyDescent="0.35">
      <c r="B32" s="12">
        <v>4</v>
      </c>
      <c r="C32" s="3">
        <v>4</v>
      </c>
    </row>
    <row r="33" spans="2:3" x14ac:dyDescent="0.35">
      <c r="B33" s="12">
        <v>5</v>
      </c>
      <c r="C33" s="3">
        <v>5</v>
      </c>
    </row>
    <row r="34" spans="2:3" x14ac:dyDescent="0.35">
      <c r="B34" s="12">
        <v>6</v>
      </c>
      <c r="C34" s="3">
        <v>6</v>
      </c>
    </row>
    <row r="35" spans="2:3" x14ac:dyDescent="0.35">
      <c r="B35" s="12">
        <v>7</v>
      </c>
      <c r="C35" s="3">
        <v>7</v>
      </c>
    </row>
    <row r="36" spans="2:3" x14ac:dyDescent="0.35">
      <c r="B36" s="12">
        <v>8</v>
      </c>
      <c r="C36" s="3">
        <v>8</v>
      </c>
    </row>
    <row r="37" spans="2:3" x14ac:dyDescent="0.35">
      <c r="B37" s="12">
        <v>9</v>
      </c>
      <c r="C37" s="3">
        <v>9</v>
      </c>
    </row>
    <row r="38" spans="2:3" x14ac:dyDescent="0.35">
      <c r="B38" s="12">
        <v>10</v>
      </c>
      <c r="C38" s="3">
        <v>10</v>
      </c>
    </row>
    <row r="39" spans="2:3" x14ac:dyDescent="0.35">
      <c r="B39" s="12">
        <v>11</v>
      </c>
      <c r="C39" s="3">
        <v>11</v>
      </c>
    </row>
    <row r="40" spans="2:3" x14ac:dyDescent="0.35">
      <c r="B40" s="12">
        <v>12</v>
      </c>
      <c r="C40" s="3">
        <v>12</v>
      </c>
    </row>
    <row r="41" spans="2:3" x14ac:dyDescent="0.35">
      <c r="B41" s="12">
        <v>13</v>
      </c>
      <c r="C41" s="3">
        <v>13</v>
      </c>
    </row>
    <row r="42" spans="2:3" x14ac:dyDescent="0.35">
      <c r="B42" s="12">
        <v>14</v>
      </c>
      <c r="C42" s="3">
        <v>14</v>
      </c>
    </row>
    <row r="43" spans="2:3" x14ac:dyDescent="0.35">
      <c r="B43" s="12">
        <v>15</v>
      </c>
      <c r="C43" s="3">
        <v>15</v>
      </c>
    </row>
    <row r="44" spans="2:3" x14ac:dyDescent="0.35">
      <c r="B44" s="12" t="s">
        <v>34</v>
      </c>
      <c r="C44" s="3">
        <f>Query!L4</f>
        <v>0</v>
      </c>
    </row>
    <row r="45" spans="2:3" x14ac:dyDescent="0.35">
      <c r="B45" s="12" t="s">
        <v>35</v>
      </c>
      <c r="C45" s="3">
        <f>VLOOKUP(Settings!$D$5,B29:C44,2,FALSE)</f>
        <v>0</v>
      </c>
    </row>
    <row r="47" spans="2:3" x14ac:dyDescent="0.35">
      <c r="B47" s="16" t="s">
        <v>42</v>
      </c>
    </row>
    <row r="48" spans="2:3" x14ac:dyDescent="0.35">
      <c r="B48" s="12" t="s">
        <v>43</v>
      </c>
    </row>
    <row r="49" spans="2:2" x14ac:dyDescent="0.35">
      <c r="B49" s="15">
        <f>YEAR(MIN(Table1[Date]))</f>
        <v>1900</v>
      </c>
    </row>
    <row r="50" spans="2:2" x14ac:dyDescent="0.35">
      <c r="B50" s="12" t="str" cm="1">
        <f t="array" aca="1" ref="B50" ca="1">IFERROR(IF(B49+1&lt;=YEAR(MAX(Table1[Date])),Validations!B49+1,NULL()),"")</f>
        <v/>
      </c>
    </row>
    <row r="51" spans="2:2" x14ac:dyDescent="0.35">
      <c r="B51" s="12" t="str" cm="1">
        <f t="array" aca="1" ref="B51" ca="1">IFERROR(IF(B50+1&lt;=YEAR(MAX(Table1[Date])),Validations!B50+1,NULL()),"")</f>
        <v/>
      </c>
    </row>
    <row r="52" spans="2:2" x14ac:dyDescent="0.35">
      <c r="B52" s="12" t="str" cm="1">
        <f t="array" aca="1" ref="B52" ca="1">IFERROR(IF(B51+1&lt;=YEAR(MAX(Table1[Date])),Validations!B51+1,NULL()),"")</f>
        <v/>
      </c>
    </row>
    <row r="53" spans="2:2" x14ac:dyDescent="0.35">
      <c r="B53" s="12" t="str" cm="1">
        <f t="array" aca="1" ref="B53" ca="1">IFERROR(IF(B52+1&lt;=YEAR(MAX(Table1[Date])),Validations!B52+1,NULL()),"")</f>
        <v/>
      </c>
    </row>
    <row r="54" spans="2:2" x14ac:dyDescent="0.35">
      <c r="B54" s="12" t="str" cm="1">
        <f t="array" aca="1" ref="B54" ca="1">IFERROR(IF(B53+1&lt;=YEAR(MAX(Table1[Date])),Validations!B53+1,NULL()),"")</f>
        <v/>
      </c>
    </row>
    <row r="55" spans="2:2" x14ac:dyDescent="0.35">
      <c r="B55" s="12" t="str" cm="1">
        <f t="array" aca="1" ref="B55" ca="1">IFERROR(IF(B54+1&lt;=YEAR(MAX(Table1[Date])),Validations!B54+1,NULL()),"")</f>
        <v/>
      </c>
    </row>
    <row r="56" spans="2:2" x14ac:dyDescent="0.35">
      <c r="B56" s="12" t="str" cm="1">
        <f t="array" aca="1" ref="B56" ca="1">IFERROR(IF(B55+1&lt;=YEAR(MAX(Table1[Date])),Validations!B55+1,NULL()),"")</f>
        <v/>
      </c>
    </row>
    <row r="57" spans="2:2" x14ac:dyDescent="0.35">
      <c r="B57" s="12" t="str" cm="1">
        <f t="array" aca="1" ref="B57" ca="1">IFERROR(IF(B56+1&lt;=YEAR(MAX(Table1[Date])),Validations!B56+1,NULL()),"")</f>
        <v/>
      </c>
    </row>
    <row r="58" spans="2:2" x14ac:dyDescent="0.35">
      <c r="B58" s="12" t="str" cm="1">
        <f t="array" aca="1" ref="B58" ca="1">IFERROR(IF(B57+1&lt;=YEAR(MAX(Table1[Date])),Validations!B57+1,NULL()),"")</f>
        <v/>
      </c>
    </row>
    <row r="59" spans="2:2" x14ac:dyDescent="0.35">
      <c r="B59" s="12" t="str" cm="1">
        <f t="array" aca="1" ref="B59" ca="1">IFERROR(IF(B58+1&lt;=YEAR(MAX(Table1[Date])),Validations!B58+1,NULL()),"")</f>
        <v/>
      </c>
    </row>
    <row r="60" spans="2:2" x14ac:dyDescent="0.35">
      <c r="B60" s="12" t="str" cm="1">
        <f t="array" aca="1" ref="B60" ca="1">IFERROR(IF(B59+1&lt;=YEAR(MAX(Table1[Date])),Validations!B59+1,NULL()),"")</f>
        <v/>
      </c>
    </row>
    <row r="61" spans="2:2" x14ac:dyDescent="0.35">
      <c r="B61" s="12" t="str" cm="1">
        <f t="array" aca="1" ref="B61" ca="1">IFERROR(IF(B60+1&lt;=YEAR(MAX(Table1[Date])),Validations!B60+1,NULL()),"")</f>
        <v/>
      </c>
    </row>
    <row r="62" spans="2:2" x14ac:dyDescent="0.35">
      <c r="B62" s="12" t="str" cm="1">
        <f t="array" aca="1" ref="B62" ca="1">IFERROR(IF(B61+1&lt;=YEAR(MAX(Table1[Date])),Validations!B61+1,NULL()),"")</f>
        <v/>
      </c>
    </row>
    <row r="63" spans="2:2" x14ac:dyDescent="0.35">
      <c r="B63" s="12" t="str" cm="1">
        <f t="array" aca="1" ref="B63" ca="1">IFERROR(IF(B62+1&lt;=YEAR(MAX(Table1[Date])),Validations!B62+1,NULL()),"")</f>
        <v/>
      </c>
    </row>
    <row r="64" spans="2:2" x14ac:dyDescent="0.35">
      <c r="B64" s="12" t="str" cm="1">
        <f t="array" aca="1" ref="B64" ca="1">IFERROR(IF(B63+1&lt;=YEAR(MAX(Table1[Date])),Validations!B63+1,NULL()),"")</f>
        <v/>
      </c>
    </row>
    <row r="65" spans="2:2" x14ac:dyDescent="0.35">
      <c r="B65" s="12" t="str" cm="1">
        <f t="array" aca="1" ref="B65" ca="1">IFERROR(IF(B64+1&lt;=YEAR(MAX(Table1[Date])),Validations!B64+1,NULL()),"")</f>
        <v/>
      </c>
    </row>
    <row r="66" spans="2:2" x14ac:dyDescent="0.35">
      <c r="B66" s="12" t="str" cm="1">
        <f t="array" aca="1" ref="B66" ca="1">IFERROR(IF(B65+1&lt;=YEAR(MAX(Table1[Date])),Validations!B65+1,NULL()),"")</f>
        <v/>
      </c>
    </row>
    <row r="67" spans="2:2" x14ac:dyDescent="0.35">
      <c r="B67" s="12" t="str" cm="1">
        <f t="array" aca="1" ref="B67" ca="1">IFERROR(IF(B66+1&lt;=YEAR(MAX(Table1[Date])),Validations!B66+1,NULL()),"")</f>
        <v/>
      </c>
    </row>
    <row r="68" spans="2:2" x14ac:dyDescent="0.35">
      <c r="B68" s="12" t="str" cm="1">
        <f t="array" aca="1" ref="B68" ca="1">IFERROR(IF(B67+1&lt;=YEAR(MAX(Table1[Date])),Validations!B67+1,NULL()),"")</f>
        <v/>
      </c>
    </row>
    <row r="69" spans="2:2" x14ac:dyDescent="0.35">
      <c r="B69" s="12" t="str" cm="1">
        <f t="array" aca="1" ref="B69" ca="1">IFERROR(IF(B68+1&lt;=YEAR(MAX(Table1[Date])),Validations!B68+1,NULL()),"")</f>
        <v/>
      </c>
    </row>
    <row r="70" spans="2:2" x14ac:dyDescent="0.35">
      <c r="B70" s="12" t="str" cm="1">
        <f t="array" aca="1" ref="B70" ca="1">IFERROR(IF(B69+1&lt;=YEAR(MAX(Table1[Date])),Validations!B69+1,NULL()),"")</f>
        <v/>
      </c>
    </row>
    <row r="71" spans="2:2" x14ac:dyDescent="0.35">
      <c r="B71" s="12" t="str" cm="1">
        <f t="array" aca="1" ref="B71" ca="1">IFERROR(IF(B70+1&lt;=YEAR(MAX(Table1[Date])),Validations!B70+1,NULL()),"")</f>
        <v/>
      </c>
    </row>
    <row r="72" spans="2:2" x14ac:dyDescent="0.35">
      <c r="B72" s="12" t="str" cm="1">
        <f t="array" aca="1" ref="B72" ca="1">IFERROR(IF(B71+1&lt;=YEAR(MAX(Table1[Date])),Validations!B71+1,NULL()),"")</f>
        <v/>
      </c>
    </row>
    <row r="73" spans="2:2" x14ac:dyDescent="0.35">
      <c r="B73" s="12" t="str" cm="1">
        <f t="array" aca="1" ref="B73" ca="1">IFERROR(IF(B72+1&lt;=YEAR(MAX(Table1[Date])),Validations!B72+1,NULL()),"")</f>
        <v/>
      </c>
    </row>
    <row r="74" spans="2:2" x14ac:dyDescent="0.35">
      <c r="B74" s="12" t="str" cm="1">
        <f t="array" aca="1" ref="B74" ca="1">IFERROR(IF(B73+1&lt;=YEAR(MAX(Table1[Date])),Validations!B73+1,NULL()),"")</f>
        <v/>
      </c>
    </row>
    <row r="75" spans="2:2" x14ac:dyDescent="0.35">
      <c r="B75" s="12" t="str" cm="1">
        <f t="array" aca="1" ref="B75" ca="1">IFERROR(IF(B74+1&lt;=YEAR(MAX(Table1[Date])),Validations!B74+1,NULL()),"")</f>
        <v/>
      </c>
    </row>
    <row r="76" spans="2:2" x14ac:dyDescent="0.35">
      <c r="B76" s="12" t="str" cm="1">
        <f t="array" aca="1" ref="B76" ca="1">IFERROR(IF(B75+1&lt;=YEAR(MAX(Table1[Date])),Validations!B75+1,NULL()),"")</f>
        <v/>
      </c>
    </row>
    <row r="77" spans="2:2" x14ac:dyDescent="0.35">
      <c r="B77" s="12" t="str" cm="1">
        <f t="array" aca="1" ref="B77" ca="1">IFERROR(IF(B76+1&lt;=YEAR(MAX(Table1[Date])),Validations!B76+1,NULL()),"")</f>
        <v/>
      </c>
    </row>
    <row r="78" spans="2:2" x14ac:dyDescent="0.35">
      <c r="B78" s="12" t="str" cm="1">
        <f t="array" aca="1" ref="B78" ca="1">IFERROR(IF(B77+1&lt;=YEAR(MAX(Table1[Date])),Validations!B77+1,NULL()),"")</f>
        <v/>
      </c>
    </row>
    <row r="79" spans="2:2" x14ac:dyDescent="0.35">
      <c r="B79" s="12" t="str" cm="1">
        <f t="array" aca="1" ref="B79" ca="1">IFERROR(IF(B78+1&lt;=YEAR(MAX(Table1[Date])),Validations!B78+1,NULL()),"")</f>
        <v/>
      </c>
    </row>
    <row r="80" spans="2:2" x14ac:dyDescent="0.35">
      <c r="B80" s="12" t="str" cm="1">
        <f t="array" aca="1" ref="B80" ca="1">IFERROR(IF(B79+1&lt;=YEAR(MAX(Table1[Date])),Validations!B79+1,NULL()),"")</f>
        <v/>
      </c>
    </row>
    <row r="81" spans="2:2" x14ac:dyDescent="0.35">
      <c r="B81" s="12" t="str" cm="1">
        <f t="array" aca="1" ref="B81" ca="1">IFERROR(IF(B80+1&lt;=YEAR(MAX(Table1[Date])),Validations!B80+1,NULL()),"")</f>
        <v/>
      </c>
    </row>
    <row r="82" spans="2:2" x14ac:dyDescent="0.35">
      <c r="B82" s="12" t="str" cm="1">
        <f t="array" aca="1" ref="B82" ca="1">IFERROR(IF(B81+1&lt;=YEAR(MAX(Table1[Date])),Validations!B81+1,NULL()),"")</f>
        <v/>
      </c>
    </row>
    <row r="83" spans="2:2" x14ac:dyDescent="0.35">
      <c r="B83" s="12" t="str" cm="1">
        <f t="array" aca="1" ref="B83" ca="1">IFERROR(IF(B82+1&lt;=YEAR(MAX(Table1[Date])),Validations!B82+1,NULL()),"")</f>
        <v/>
      </c>
    </row>
    <row r="84" spans="2:2" x14ac:dyDescent="0.35">
      <c r="B84" s="12" t="str" cm="1">
        <f t="array" aca="1" ref="B84" ca="1">IFERROR(IF(B83+1&lt;=YEAR(MAX(Table1[Date])),Validations!B83+1,NULL()),"")</f>
        <v/>
      </c>
    </row>
    <row r="85" spans="2:2" x14ac:dyDescent="0.35">
      <c r="B85" s="12" t="str" cm="1">
        <f t="array" aca="1" ref="B85" ca="1">IFERROR(IF(B84+1&lt;=YEAR(MAX(Table1[Date])),Validations!B84+1,NULL()),"")</f>
        <v/>
      </c>
    </row>
    <row r="86" spans="2:2" x14ac:dyDescent="0.35">
      <c r="B86" s="12" t="str" cm="1">
        <f t="array" aca="1" ref="B86" ca="1">IFERROR(IF(B85+1&lt;=YEAR(MAX(Table1[Date])),Validations!B85+1,NULL()),"")</f>
        <v/>
      </c>
    </row>
    <row r="87" spans="2:2" x14ac:dyDescent="0.35">
      <c r="B87" s="12" t="str" cm="1">
        <f t="array" aca="1" ref="B87" ca="1">IFERROR(IF(B86+1&lt;=YEAR(MAX(Table1[Date])),Validations!B86+1,NULL()),"")</f>
        <v/>
      </c>
    </row>
    <row r="88" spans="2:2" x14ac:dyDescent="0.35">
      <c r="B88" s="12" t="str" cm="1">
        <f t="array" aca="1" ref="B88" ca="1">IFERROR(IF(B87+1&lt;=YEAR(MAX(Table1[Date])),Validations!B87+1,NULL()),"")</f>
        <v/>
      </c>
    </row>
    <row r="89" spans="2:2" x14ac:dyDescent="0.35">
      <c r="B89" s="12" t="str" cm="1">
        <f t="array" aca="1" ref="B89" ca="1">IFERROR(IF(B88+1&lt;=YEAR(MAX(Table1[Date])),Validations!B88+1,NULL()),"")</f>
        <v/>
      </c>
    </row>
    <row r="90" spans="2:2" x14ac:dyDescent="0.35">
      <c r="B90" s="12" t="str" cm="1">
        <f t="array" aca="1" ref="B90" ca="1">IFERROR(IF(B89+1&lt;=YEAR(MAX(Table1[Date])),Validations!B89+1,NULL()),"")</f>
        <v/>
      </c>
    </row>
    <row r="91" spans="2:2" x14ac:dyDescent="0.35">
      <c r="B91" s="12" t="str" cm="1">
        <f t="array" aca="1" ref="B91" ca="1">IFERROR(IF(B90+1&lt;=YEAR(MAX(Table1[Date])),Validations!B90+1,NULL()),"")</f>
        <v/>
      </c>
    </row>
    <row r="92" spans="2:2" x14ac:dyDescent="0.35">
      <c r="B92" s="12" t="str" cm="1">
        <f t="array" aca="1" ref="B92" ca="1">IFERROR(IF(B91+1&lt;=YEAR(MAX(Table1[Date])),Validations!B91+1,NULL()),"")</f>
        <v/>
      </c>
    </row>
    <row r="93" spans="2:2" x14ac:dyDescent="0.35">
      <c r="B93" s="12" t="str" cm="1">
        <f t="array" aca="1" ref="B93" ca="1">IFERROR(IF(B92+1&lt;=YEAR(MAX(Table1[Date])),Validations!B92+1,NULL()),"")</f>
        <v/>
      </c>
    </row>
    <row r="94" spans="2:2" x14ac:dyDescent="0.35">
      <c r="B94" s="12" t="str" cm="1">
        <f t="array" aca="1" ref="B94" ca="1">IFERROR(IF(B93+1&lt;=YEAR(MAX(Table1[Date])),Validations!B93+1,NULL()),"")</f>
        <v/>
      </c>
    </row>
    <row r="95" spans="2:2" x14ac:dyDescent="0.35">
      <c r="B95" s="12" t="str" cm="1">
        <f t="array" aca="1" ref="B95" ca="1">IFERROR(IF(B94+1&lt;=YEAR(MAX(Table1[Date])),Validations!B94+1,NULL()),"")</f>
        <v/>
      </c>
    </row>
    <row r="96" spans="2:2" x14ac:dyDescent="0.35">
      <c r="B96" s="12" t="str" cm="1">
        <f t="array" aca="1" ref="B96" ca="1">IFERROR(IF(B95+1&lt;=YEAR(MAX(Table1[Date])),Validations!B95+1,NULL()),"")</f>
        <v/>
      </c>
    </row>
    <row r="97" spans="2:2" x14ac:dyDescent="0.35">
      <c r="B97" s="12" t="str" cm="1">
        <f t="array" aca="1" ref="B97" ca="1">IFERROR(IF(B96+1&lt;=YEAR(MAX(Table1[Date])),Validations!B96+1,NULL()),"")</f>
        <v/>
      </c>
    </row>
    <row r="98" spans="2:2" x14ac:dyDescent="0.35">
      <c r="B98" s="12" t="str" cm="1">
        <f t="array" aca="1" ref="B98" ca="1">IFERROR(IF(B97+1&lt;=YEAR(MAX(Table1[Date])),Validations!B97+1,NULL()),"")</f>
        <v/>
      </c>
    </row>
    <row r="99" spans="2:2" x14ac:dyDescent="0.35">
      <c r="B99" s="12" t="str" cm="1">
        <f t="array" aca="1" ref="B99" ca="1">IFERROR(IF(B98+1&lt;=YEAR(MAX(Table1[Date])),Validations!B98+1,NULL()),"")</f>
        <v/>
      </c>
    </row>
    <row r="100" spans="2:2" x14ac:dyDescent="0.35">
      <c r="B100" s="12" t="str" cm="1">
        <f t="array" aca="1" ref="B100" ca="1">IFERROR(IF(B99+1&lt;=YEAR(MAX(Table1[Date])),Validations!B99+1,NULL()),"")</f>
        <v/>
      </c>
    </row>
    <row r="101" spans="2:2" x14ac:dyDescent="0.35">
      <c r="B101" s="12" t="str" cm="1">
        <f t="array" aca="1" ref="B101" ca="1">IFERROR(IF(B100+1&lt;=YEAR(MAX(Table1[Date])),Validations!B100+1,NULL()),"")</f>
        <v/>
      </c>
    </row>
    <row r="102" spans="2:2" x14ac:dyDescent="0.35">
      <c r="B102" s="12" t="str" cm="1">
        <f t="array" aca="1" ref="B102" ca="1">IFERROR(IF(B101+1&lt;=YEAR(MAX(Table1[Date])),Validations!B101+1,NULL()),"")</f>
        <v/>
      </c>
    </row>
    <row r="103" spans="2:2" x14ac:dyDescent="0.35">
      <c r="B103" s="12" t="str" cm="1">
        <f t="array" aca="1" ref="B103" ca="1">IFERROR(IF(B102+1&lt;=YEAR(MAX(Table1[Date])),Validations!B102+1,NULL()),"")</f>
        <v/>
      </c>
    </row>
    <row r="104" spans="2:2" x14ac:dyDescent="0.35">
      <c r="B104" s="12" t="str" cm="1">
        <f t="array" aca="1" ref="B104" ca="1">IFERROR(IF(B103+1&lt;=YEAR(MAX(Table1[Date])),Validations!B103+1,NULL()),"")</f>
        <v/>
      </c>
    </row>
    <row r="105" spans="2:2" x14ac:dyDescent="0.35">
      <c r="B105" s="12" t="str" cm="1">
        <f t="array" aca="1" ref="B105" ca="1">IFERROR(IF(B104+1&lt;=YEAR(MAX(Table1[Date])),Validations!B104+1,NULL()),"")</f>
        <v/>
      </c>
    </row>
    <row r="106" spans="2:2" x14ac:dyDescent="0.35">
      <c r="B106" s="12" t="str" cm="1">
        <f t="array" aca="1" ref="B106" ca="1">IFERROR(IF(B105+1&lt;=YEAR(MAX(Table1[Date])),Validations!B105+1,NULL()),"")</f>
        <v/>
      </c>
    </row>
    <row r="107" spans="2:2" x14ac:dyDescent="0.35">
      <c r="B107" s="12" t="str" cm="1">
        <f t="array" aca="1" ref="B107" ca="1">IFERROR(IF(B106+1&lt;=YEAR(MAX(Table1[Date])),Validations!B106+1,NULL()),"")</f>
        <v/>
      </c>
    </row>
    <row r="108" spans="2:2" x14ac:dyDescent="0.35">
      <c r="B108" s="12" t="str" cm="1">
        <f t="array" aca="1" ref="B108" ca="1">IFERROR(IF(B107+1&lt;=YEAR(MAX(Table1[Date])),Validations!B107+1,NULL()),"")</f>
        <v/>
      </c>
    </row>
    <row r="109" spans="2:2" x14ac:dyDescent="0.35">
      <c r="B109" s="12" t="str" cm="1">
        <f t="array" aca="1" ref="B109" ca="1">IFERROR(IF(B108+1&lt;=YEAR(MAX(Table1[Date])),Validations!B108+1,NULL()),"")</f>
        <v/>
      </c>
    </row>
    <row r="110" spans="2:2" x14ac:dyDescent="0.35">
      <c r="B110" s="12" t="str" cm="1">
        <f t="array" aca="1" ref="B110" ca="1">IFERROR(IF(B109+1&lt;=YEAR(MAX(Table1[Date])),Validations!B109+1,NULL()),"")</f>
        <v/>
      </c>
    </row>
    <row r="111" spans="2:2" x14ac:dyDescent="0.35">
      <c r="B111" s="12" t="str" cm="1">
        <f t="array" aca="1" ref="B111" ca="1">IFERROR(IF(B110+1&lt;=YEAR(MAX(Table1[Date])),Validations!B110+1,NULL()),"")</f>
        <v/>
      </c>
    </row>
    <row r="112" spans="2:2" x14ac:dyDescent="0.35">
      <c r="B112" s="12" t="str" cm="1">
        <f t="array" aca="1" ref="B112" ca="1">IFERROR(IF(B111+1&lt;=YEAR(MAX(Table1[Date])),Validations!B111+1,NULL()),"")</f>
        <v/>
      </c>
    </row>
    <row r="113" spans="2:2" x14ac:dyDescent="0.35">
      <c r="B113" s="12" t="str" cm="1">
        <f t="array" aca="1" ref="B113" ca="1">IFERROR(IF(B112+1&lt;=YEAR(MAX(Table1[Date])),Validations!B112+1,NULL()),"")</f>
        <v/>
      </c>
    </row>
    <row r="114" spans="2:2" x14ac:dyDescent="0.35">
      <c r="B114" s="12" t="str" cm="1">
        <f t="array" aca="1" ref="B114" ca="1">IFERROR(IF(B113+1&lt;=YEAR(MAX(Table1[Date])),Validations!B113+1,NULL()),"")</f>
        <v/>
      </c>
    </row>
    <row r="115" spans="2:2" x14ac:dyDescent="0.35">
      <c r="B115" s="12" t="str" cm="1">
        <f t="array" aca="1" ref="B115" ca="1">IFERROR(IF(B114+1&lt;=YEAR(MAX(Table1[Date])),Validations!B114+1,NULL()),"")</f>
        <v/>
      </c>
    </row>
    <row r="116" spans="2:2" x14ac:dyDescent="0.35">
      <c r="B116" s="12" t="str" cm="1">
        <f t="array" aca="1" ref="B116" ca="1">IFERROR(IF(B115+1&lt;=YEAR(MAX(Table1[Date])),Validations!B115+1,NULL()),"")</f>
        <v/>
      </c>
    </row>
    <row r="117" spans="2:2" x14ac:dyDescent="0.35">
      <c r="B117" s="12" t="str" cm="1">
        <f t="array" aca="1" ref="B117" ca="1">IFERROR(IF(B116+1&lt;=YEAR(MAX(Table1[Date])),Validations!B116+1,NULL()),"")</f>
        <v/>
      </c>
    </row>
    <row r="118" spans="2:2" x14ac:dyDescent="0.35">
      <c r="B118" s="12" t="str" cm="1">
        <f t="array" aca="1" ref="B118" ca="1">IFERROR(IF(B117+1&lt;=YEAR(MAX(Table1[Date])),Validations!B117+1,NULL()),"")</f>
        <v/>
      </c>
    </row>
    <row r="119" spans="2:2" x14ac:dyDescent="0.35">
      <c r="B119" s="12" t="str" cm="1">
        <f t="array" aca="1" ref="B119" ca="1">IFERROR(IF(B118+1&lt;=YEAR(MAX(Table1[Date])),Validations!B118+1,NULL()),"")</f>
        <v/>
      </c>
    </row>
    <row r="120" spans="2:2" x14ac:dyDescent="0.35">
      <c r="B120" s="12" t="str" cm="1">
        <f t="array" aca="1" ref="B120" ca="1">IFERROR(IF(B119+1&lt;=YEAR(MAX(Table1[Date])),Validations!B119+1,NULL()),"")</f>
        <v/>
      </c>
    </row>
    <row r="121" spans="2:2" x14ac:dyDescent="0.35">
      <c r="B121" s="12" t="str" cm="1">
        <f t="array" aca="1" ref="B121" ca="1">IFERROR(IF(B120+1&lt;=YEAR(MAX(Table1[Date])),Validations!B120+1,NULL()),"")</f>
        <v/>
      </c>
    </row>
    <row r="122" spans="2:2" x14ac:dyDescent="0.35">
      <c r="B122" s="12" t="str" cm="1">
        <f t="array" aca="1" ref="B122" ca="1">IFERROR(IF(B121+1&lt;=YEAR(MAX(Table1[Date])),Validations!B121+1,NULL()),"")</f>
        <v/>
      </c>
    </row>
    <row r="123" spans="2:2" x14ac:dyDescent="0.35">
      <c r="B123" s="12" t="str" cm="1">
        <f t="array" aca="1" ref="B123" ca="1">IFERROR(IF(B122+1&lt;=YEAR(MAX(Table1[Date])),Validations!B122+1,NULL()),"")</f>
        <v/>
      </c>
    </row>
    <row r="124" spans="2:2" x14ac:dyDescent="0.35">
      <c r="B124" s="12" t="str" cm="1">
        <f t="array" aca="1" ref="B124" ca="1">IFERROR(IF(B123+1&lt;=YEAR(MAX(Table1[Date])),Validations!B123+1,NULL()),"")</f>
        <v/>
      </c>
    </row>
    <row r="125" spans="2:2" x14ac:dyDescent="0.35">
      <c r="B125" s="12" t="str" cm="1">
        <f t="array" aca="1" ref="B125" ca="1">IFERROR(IF(B124+1&lt;=YEAR(MAX(Table1[Date])),Validations!B124+1,NULL()),"")</f>
        <v/>
      </c>
    </row>
    <row r="126" spans="2:2" x14ac:dyDescent="0.35">
      <c r="B126" s="12" t="str" cm="1">
        <f t="array" aca="1" ref="B126" ca="1">IFERROR(IF(B125+1&lt;=YEAR(MAX(Table1[Date])),Validations!B125+1,NULL()),"")</f>
        <v/>
      </c>
    </row>
    <row r="127" spans="2:2" x14ac:dyDescent="0.35">
      <c r="B127" s="12" t="str" cm="1">
        <f t="array" aca="1" ref="B127" ca="1">IFERROR(IF(B126+1&lt;=YEAR(MAX(Table1[Date])),Validations!B126+1,NULL()),"")</f>
        <v/>
      </c>
    </row>
    <row r="128" spans="2:2" x14ac:dyDescent="0.35">
      <c r="B128" s="12" t="str" cm="1">
        <f t="array" aca="1" ref="B128" ca="1">IFERROR(IF(B127+1&lt;=YEAR(MAX(Table1[Date])),Validations!B127+1,NULL()),"")</f>
        <v/>
      </c>
    </row>
    <row r="129" spans="2:2" x14ac:dyDescent="0.35">
      <c r="B129" s="12" t="str" cm="1">
        <f t="array" aca="1" ref="B129" ca="1">IFERROR(IF(B128+1&lt;=YEAR(MAX(Table1[Date])),Validations!B128+1,NULL()),"")</f>
        <v/>
      </c>
    </row>
    <row r="130" spans="2:2" x14ac:dyDescent="0.35">
      <c r="B130" s="12" t="str" cm="1">
        <f t="array" aca="1" ref="B130" ca="1">IFERROR(IF(B129+1&lt;=YEAR(MAX(Table1[Date])),Validations!B129+1,NULL()),"")</f>
        <v/>
      </c>
    </row>
    <row r="131" spans="2:2" x14ac:dyDescent="0.35">
      <c r="B131" s="12" t="str" cm="1">
        <f t="array" aca="1" ref="B131" ca="1">IFERROR(IF(B130+1&lt;=YEAR(MAX(Table1[Date])),Validations!B130+1,NULL()),"")</f>
        <v/>
      </c>
    </row>
    <row r="132" spans="2:2" x14ac:dyDescent="0.35">
      <c r="B132" s="12" t="str" cm="1">
        <f t="array" aca="1" ref="B132" ca="1">IFERROR(IF(B131+1&lt;=YEAR(MAX(Table1[Date])),Validations!B131+1,NULL()),"")</f>
        <v/>
      </c>
    </row>
    <row r="133" spans="2:2" x14ac:dyDescent="0.35">
      <c r="B133" s="12" t="str" cm="1">
        <f t="array" aca="1" ref="B133" ca="1">IFERROR(IF(B132+1&lt;=YEAR(MAX(Table1[Date])),Validations!B132+1,NULL()),"")</f>
        <v/>
      </c>
    </row>
    <row r="134" spans="2:2" x14ac:dyDescent="0.35">
      <c r="B134" s="12" t="str" cm="1">
        <f t="array" aca="1" ref="B134" ca="1">IFERROR(IF(B133+1&lt;=YEAR(MAX(Table1[Date])),Validations!B133+1,NULL()),"")</f>
        <v/>
      </c>
    </row>
    <row r="135" spans="2:2" x14ac:dyDescent="0.35">
      <c r="B135" s="12" t="str" cm="1">
        <f t="array" aca="1" ref="B135" ca="1">IFERROR(IF(B134+1&lt;=YEAR(MAX(Table1[Date])),Validations!B134+1,NULL()),"")</f>
        <v/>
      </c>
    </row>
    <row r="136" spans="2:2" x14ac:dyDescent="0.35">
      <c r="B136" s="12" t="str" cm="1">
        <f t="array" aca="1" ref="B136" ca="1">IFERROR(IF(B135+1&lt;=YEAR(MAX(Table1[Date])),Validations!B135+1,NULL()),"")</f>
        <v/>
      </c>
    </row>
    <row r="137" spans="2:2" x14ac:dyDescent="0.35">
      <c r="B137" s="12" t="str" cm="1">
        <f t="array" aca="1" ref="B137" ca="1">IFERROR(IF(B136+1&lt;=YEAR(MAX(Table1[Date])),Validations!B136+1,NULL()),"")</f>
        <v/>
      </c>
    </row>
    <row r="138" spans="2:2" x14ac:dyDescent="0.35">
      <c r="B138" s="12" t="str" cm="1">
        <f t="array" aca="1" ref="B138" ca="1">IFERROR(IF(B137+1&lt;=YEAR(MAX(Table1[Date])),Validations!B137+1,NULL()),"")</f>
        <v/>
      </c>
    </row>
    <row r="139" spans="2:2" x14ac:dyDescent="0.35">
      <c r="B139" s="12" t="str" cm="1">
        <f t="array" aca="1" ref="B139" ca="1">IFERROR(IF(B138+1&lt;=YEAR(MAX(Table1[Date])),Validations!B138+1,NULL()),"")</f>
        <v/>
      </c>
    </row>
    <row r="140" spans="2:2" x14ac:dyDescent="0.35">
      <c r="B140" s="12" t="str" cm="1">
        <f t="array" aca="1" ref="B140" ca="1">IFERROR(IF(B139+1&lt;=YEAR(MAX(Table1[Date])),Validations!B139+1,NULL()),"")</f>
        <v/>
      </c>
    </row>
    <row r="141" spans="2:2" x14ac:dyDescent="0.35">
      <c r="B141" s="12" t="str" cm="1">
        <f t="array" aca="1" ref="B141" ca="1">IFERROR(IF(B140+1&lt;=YEAR(MAX(Table1[Date])),Validations!B140+1,NULL()),"")</f>
        <v/>
      </c>
    </row>
    <row r="142" spans="2:2" x14ac:dyDescent="0.35">
      <c r="B142" s="12" t="str" cm="1">
        <f t="array" aca="1" ref="B142" ca="1">IFERROR(IF(B141+1&lt;=YEAR(MAX(Table1[Date])),Validations!B141+1,NULL()),"")</f>
        <v/>
      </c>
    </row>
    <row r="143" spans="2:2" x14ac:dyDescent="0.35">
      <c r="B143" s="12" t="str" cm="1">
        <f t="array" aca="1" ref="B143" ca="1">IFERROR(IF(B142+1&lt;=YEAR(MAX(Table1[Date])),Validations!B142+1,NULL()),"")</f>
        <v/>
      </c>
    </row>
    <row r="144" spans="2:2" x14ac:dyDescent="0.35">
      <c r="B144" s="12" t="str" cm="1">
        <f t="array" aca="1" ref="B144" ca="1">IFERROR(IF(B143+1&lt;=YEAR(MAX(Table1[Date])),Validations!B143+1,NULL()),"")</f>
        <v/>
      </c>
    </row>
    <row r="145" spans="2:2" x14ac:dyDescent="0.35">
      <c r="B145" s="12" t="str" cm="1">
        <f t="array" aca="1" ref="B145" ca="1">IFERROR(IF(B144+1&lt;=YEAR(MAX(Table1[Date])),Validations!B144+1,NULL()),"")</f>
        <v/>
      </c>
    </row>
    <row r="146" spans="2:2" x14ac:dyDescent="0.35">
      <c r="B146" s="12" t="str" cm="1">
        <f t="array" aca="1" ref="B146" ca="1">IFERROR(IF(B145+1&lt;=YEAR(MAX(Table1[Date])),Validations!B145+1,NULL()),"")</f>
        <v/>
      </c>
    </row>
    <row r="147" spans="2:2" x14ac:dyDescent="0.35">
      <c r="B147" s="12" t="str" cm="1">
        <f t="array" aca="1" ref="B147" ca="1">IFERROR(IF(B146+1&lt;=YEAR(MAX(Table1[Date])),Validations!B146+1,NULL()),"")</f>
        <v/>
      </c>
    </row>
    <row r="148" spans="2:2" x14ac:dyDescent="0.35">
      <c r="B148" s="12" t="str" cm="1">
        <f t="array" aca="1" ref="B148" ca="1">IFERROR(IF(B147+1&lt;=YEAR(MAX(Table1[Date])),Validations!B147+1,NULL()),"")</f>
        <v/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C72F73-BD8D-445A-B81B-7FCAD6EBAD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Transactions</vt:lpstr>
      <vt:lpstr>Settings</vt:lpstr>
      <vt:lpstr>Query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Lukas</dc:creator>
  <cp:lastModifiedBy>Nick Lukas</cp:lastModifiedBy>
  <dcterms:created xsi:type="dcterms:W3CDTF">2022-07-01T16:38:45Z</dcterms:created>
  <dcterms:modified xsi:type="dcterms:W3CDTF">2022-07-06T22:56:37Z</dcterms:modified>
</cp:coreProperties>
</file>